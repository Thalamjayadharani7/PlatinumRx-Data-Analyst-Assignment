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Zoom\Desktop\platinumRX\excel\"/>
    </mc:Choice>
  </mc:AlternateContent>
  <xr:revisionPtr revIDLastSave="0" documentId="8_{F3768B90-23C3-43EF-A035-F49373BE8C24}" xr6:coauthVersionLast="47" xr6:coauthVersionMax="47" xr10:uidLastSave="{00000000-0000-0000-0000-000000000000}"/>
  <bookViews>
    <workbookView xWindow="-108" yWindow="-108" windowWidth="23256" windowHeight="12456" xr2:uid="{CB798A57-8EF6-4D9E-941C-79CF438E8767}"/>
  </bookViews>
  <sheets>
    <sheet name="outlet-wise count" sheetId="3" r:id="rId1"/>
    <sheet name="ticket" sheetId="1" r:id="rId2"/>
    <sheet name="feedbacks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2"/>
  <c r="D4" i="2"/>
  <c r="D5" i="2"/>
  <c r="D6" i="2"/>
  <c r="D2" i="2"/>
</calcChain>
</file>

<file path=xl/sharedStrings.xml><?xml version="1.0" encoding="utf-8"?>
<sst xmlns="http://schemas.openxmlformats.org/spreadsheetml/2006/main" count="37" uniqueCount="26">
  <si>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</si>
  <si>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</si>
  <si>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</si>
  <si>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</si>
  <si>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</si>
  <si>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</si>
  <si>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</si>
  <si>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</si>
  <si>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</si>
  <si>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</si>
  <si>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cms-002</t>
  </si>
  <si>
    <t>tkt-003</t>
  </si>
  <si>
    <t>cms-003</t>
  </si>
  <si>
    <t>tkt-004</t>
  </si>
  <si>
    <t>cms-004</t>
  </si>
  <si>
    <t>tkt-005</t>
  </si>
  <si>
    <t>cms-005</t>
  </si>
  <si>
    <t>feedback_at</t>
  </si>
  <si>
    <t>feedback_rating</t>
  </si>
  <si>
    <t>ticket_created_at</t>
  </si>
  <si>
    <t>same_day_flag</t>
  </si>
  <si>
    <t>same_hour_flag</t>
  </si>
  <si>
    <t>Row Labels</t>
  </si>
  <si>
    <t>Grand Total</t>
  </si>
  <si>
    <t>Sum of same_day_flag</t>
  </si>
  <si>
    <t>Sum of same_hour_flag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</si>
</sst>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68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0.966893287034" createdVersion="8" refreshedVersion="8" minRefreshableVersion="3" recordCount="5" xr:uid="{D52332AD-ED83-4697-96FA-F8FCC9841C51}">
  <cacheSource type="worksheet">
    <worksheetSource ref="A1:G6" sheet="ticket"/>
  </cacheSource>
  <cacheFields count="7">
    <cacheField name="ticket_id" numFmtId="0">
      <sharedItems/>
    </cacheField>
    <cacheField name="created_at" numFmtId="168">
      <sharedItems containsSemiMixedTypes="0" containsNonDate="0" containsDate="1" containsString="0" minDate="2021-08-19T16:45:43" maxDate="2021-08-23T08:00:00"/>
    </cacheField>
    <cacheField name="closed_at" numFmtId="168">
      <sharedItems containsSemiMixedTypes="0" containsNonDate="0" containsDate="1" containsString="0" minDate="2021-08-21T17:13:45" maxDate="2021-08-23T08:20:0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_day_flag" numFmtId="0">
      <sharedItems containsSemiMixedTypes="0" containsString="0" containsNumber="1" containsInteger="1" minValue="0" maxValue="1"/>
    </cacheField>
    <cacheField name="same_hour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16:45:43"/>
    <d v="2021-08-22T12:33:32"/>
    <x v="0"/>
    <s v="vew-iuvd-12"/>
    <n v="0"/>
    <n v="0"/>
  </r>
  <r>
    <s v="qer-fal-092"/>
    <d v="2021-08-21T11:09:22"/>
    <d v="2021-08-21T17:13:45"/>
    <x v="1"/>
    <s v="cms-002"/>
    <n v="1"/>
    <n v="0"/>
  </r>
  <r>
    <s v="tkt-003"/>
    <d v="2021-08-22T09:10:00"/>
    <d v="2021-08-22T09:45:00"/>
    <x v="0"/>
    <s v="cms-003"/>
    <n v="1"/>
    <n v="1"/>
  </r>
  <r>
    <s v="tkt-004"/>
    <d v="2021-08-22T10:15:00"/>
    <d v="2021-08-22T10:50:00"/>
    <x v="1"/>
    <s v="cms-004"/>
    <n v="1"/>
    <n v="1"/>
  </r>
  <r>
    <s v="tkt-005"/>
    <d v="2021-08-23T08:00:00"/>
    <d v="2021-08-23T08:20:00"/>
    <x v="0"/>
    <s v="cms-005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F133C-41FB-4489-BD41-C8CDE96652B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numFmtId="168" showAll="0"/>
    <pivotField numFmtId="168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_flag" fld="5" baseField="0" baseItem="0"/>
    <dataField name="Sum of same_hour_fla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B9E0-4CE9-4C67-81C1-F683113D333A}">
  <dimension ref="A3:C6"/>
  <sheetViews>
    <sheetView tabSelected="1" zoomScale="88" workbookViewId="0">
      <selection activeCell="A3" sqref="A3"/>
    </sheetView>
  </sheetViews>
  <sheetFormatPr defaultRowHeight="14.4" x14ac:dyDescent="0.3"/>
  <cols>
    <col min="1" max="1" width="13" bestFit="1" customWidth="1"/>
    <col min="2" max="2" width="20.44140625" bestFit="1" customWidth="1"/>
    <col min="3" max="3" width="21.5546875" bestFit="1" customWidth="1"/>
  </cols>
  <sheetData>
    <row r="3" spans="1:3" x14ac:dyDescent="0.3">
      <c r="A3" s="8" t="s">
        <v>22</v>
      </c>
      <c r="B3" t="s">
        <v>24</v>
      </c>
      <c r="C3" t="s">
        <v>25</v>
      </c>
    </row>
    <row r="4" spans="1:3" x14ac:dyDescent="0.3">
      <c r="A4" s="9" t="s">
        <v>9</v>
      </c>
      <c r="B4" s="10">
        <v>2</v>
      </c>
      <c r="C4" s="10">
        <v>1</v>
      </c>
    </row>
    <row r="5" spans="1:3" x14ac:dyDescent="0.3">
      <c r="A5" s="9" t="s">
        <v>6</v>
      </c>
      <c r="B5" s="10">
        <v>2</v>
      </c>
      <c r="C5" s="10">
        <v>2</v>
      </c>
    </row>
    <row r="6" spans="1:3" x14ac:dyDescent="0.3">
      <c r="A6" s="9" t="s">
        <v>23</v>
      </c>
      <c r="B6" s="10">
        <v>4</v>
      </c>
      <c r="C6" s="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2129-12F8-4091-9744-C1A266CCE469}">
  <dimension ref="A1:G6"/>
  <sheetViews>
    <sheetView workbookViewId="0">
      <selection sqref="A1:G6"/>
    </sheetView>
  </sheetViews>
  <sheetFormatPr defaultRowHeight="14.4" x14ac:dyDescent="0.3"/>
  <cols>
    <col min="1" max="1" width="13.21875" customWidth="1"/>
    <col min="2" max="2" width="20.77734375" style="6" customWidth="1"/>
    <col min="3" max="3" width="18.44140625" style="6" customWidth="1"/>
    <col min="4" max="4" width="18.33203125" customWidth="1"/>
    <col min="5" max="5" width="14" customWidth="1"/>
    <col min="6" max="6" width="16.109375" customWidth="1"/>
    <col min="7" max="7" width="16.21875" customWidth="1"/>
  </cols>
  <sheetData>
    <row r="1" spans="1:7" x14ac:dyDescent="0.3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7" t="s">
        <v>20</v>
      </c>
      <c r="G1" s="7" t="s">
        <v>21</v>
      </c>
    </row>
    <row r="2" spans="1:7" x14ac:dyDescent="0.3">
      <c r="A2" s="2" t="s">
        <v>5</v>
      </c>
      <c r="B2" s="5">
        <v>44427.698414351849</v>
      </c>
      <c r="C2" s="5">
        <v>44430.523287037038</v>
      </c>
      <c r="D2" s="2" t="s">
        <v>6</v>
      </c>
      <c r="E2" s="2" t="s">
        <v>7</v>
      </c>
      <c r="F2">
        <f>IF(INT(B2)=INT(C2),1,0)</f>
        <v>0</v>
      </c>
      <c r="G2">
        <f>IF(AND(INT(B2)=INT(C2),HOUR(B2)=HOUR(C2)),1,0)</f>
        <v>0</v>
      </c>
    </row>
    <row r="3" spans="1:7" x14ac:dyDescent="0.3">
      <c r="A3" s="2" t="s">
        <v>8</v>
      </c>
      <c r="B3" s="5">
        <v>44429.464837962965</v>
      </c>
      <c r="C3" s="5">
        <v>44429.717881944445</v>
      </c>
      <c r="D3" s="2" t="s">
        <v>9</v>
      </c>
      <c r="E3" s="2" t="s">
        <v>10</v>
      </c>
      <c r="F3">
        <f t="shared" ref="F3:F6" si="0">IF(INT(B3)=INT(C3),1,0)</f>
        <v>1</v>
      </c>
      <c r="G3">
        <f t="shared" ref="G3:G6" si="1">IF(AND(INT(B3)=INT(C3),HOUR(B3)=HOUR(C3)),1,0)</f>
        <v>0</v>
      </c>
    </row>
    <row r="4" spans="1:7" x14ac:dyDescent="0.3">
      <c r="A4" s="2" t="s">
        <v>11</v>
      </c>
      <c r="B4" s="5">
        <v>44430.381944444445</v>
      </c>
      <c r="C4" s="5">
        <v>44430.40625</v>
      </c>
      <c r="D4" s="2" t="s">
        <v>6</v>
      </c>
      <c r="E4" s="2" t="s">
        <v>12</v>
      </c>
      <c r="F4">
        <f t="shared" si="0"/>
        <v>1</v>
      </c>
      <c r="G4">
        <f t="shared" si="1"/>
        <v>1</v>
      </c>
    </row>
    <row r="5" spans="1:7" x14ac:dyDescent="0.3">
      <c r="A5" s="2" t="s">
        <v>13</v>
      </c>
      <c r="B5" s="5">
        <v>44430.427083333336</v>
      </c>
      <c r="C5" s="5">
        <v>44430.451388888891</v>
      </c>
      <c r="D5" s="2" t="s">
        <v>9</v>
      </c>
      <c r="E5" s="2" t="s">
        <v>14</v>
      </c>
      <c r="F5">
        <f t="shared" si="0"/>
        <v>1</v>
      </c>
      <c r="G5">
        <f t="shared" si="1"/>
        <v>1</v>
      </c>
    </row>
    <row r="6" spans="1:7" x14ac:dyDescent="0.3">
      <c r="A6" s="2" t="s">
        <v>15</v>
      </c>
      <c r="B6" s="5">
        <v>44431.333333333336</v>
      </c>
      <c r="C6" s="5">
        <v>44431.347222222219</v>
      </c>
      <c r="D6" s="2" t="s">
        <v>6</v>
      </c>
      <c r="E6" s="2" t="s">
        <v>16</v>
      </c>
      <c r="F6">
        <f t="shared" si="0"/>
        <v>1</v>
      </c>
      <c r="G6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8F4F-2C06-4A7E-84CC-CBDDF4FD5D0D}">
  <dimension ref="A1:D6"/>
  <sheetViews>
    <sheetView workbookViewId="0">
      <selection activeCell="G12" sqref="G12"/>
    </sheetView>
  </sheetViews>
  <sheetFormatPr defaultRowHeight="14.4" x14ac:dyDescent="0.3"/>
  <cols>
    <col min="1" max="1" width="15.5546875" customWidth="1"/>
    <col min="2" max="2" width="15.44140625" bestFit="1" customWidth="1"/>
    <col min="4" max="4" width="20.6640625" style="6" customWidth="1"/>
  </cols>
  <sheetData>
    <row r="1" spans="1:4" ht="28.8" x14ac:dyDescent="0.3">
      <c r="A1" s="1" t="s">
        <v>4</v>
      </c>
      <c r="B1" s="1" t="s">
        <v>17</v>
      </c>
      <c r="C1" s="1" t="s">
        <v>18</v>
      </c>
      <c r="D1" s="4" t="s">
        <v>19</v>
      </c>
    </row>
    <row r="2" spans="1:4" x14ac:dyDescent="0.3">
      <c r="A2" s="2" t="s">
        <v>7</v>
      </c>
      <c r="B2" s="3">
        <v>44429.560277777775</v>
      </c>
      <c r="C2" s="2">
        <v>3</v>
      </c>
      <c r="D2" s="5">
        <f>_xlfn.XLOOKUP(A2, ticket!E:E, ticket!B:B, "")</f>
        <v>44427.698414351849</v>
      </c>
    </row>
    <row r="3" spans="1:4" x14ac:dyDescent="0.3">
      <c r="A3" s="2" t="s">
        <v>10</v>
      </c>
      <c r="B3" s="3">
        <v>44429.75</v>
      </c>
      <c r="C3" s="2">
        <v>4</v>
      </c>
      <c r="D3" s="5">
        <f>_xlfn.XLOOKUP(A3, ticket!E:E, ticket!B:B, "")</f>
        <v>44429.464837962965</v>
      </c>
    </row>
    <row r="4" spans="1:4" x14ac:dyDescent="0.3">
      <c r="A4" s="2" t="s">
        <v>12</v>
      </c>
      <c r="B4" s="3">
        <v>44430.416666666664</v>
      </c>
      <c r="C4" s="2">
        <v>5</v>
      </c>
      <c r="D4" s="5">
        <f>_xlfn.XLOOKUP(A4, ticket!E:E, ticket!B:B, "")</f>
        <v>44430.381944444445</v>
      </c>
    </row>
    <row r="5" spans="1:4" x14ac:dyDescent="0.3">
      <c r="A5" s="2" t="s">
        <v>14</v>
      </c>
      <c r="B5" s="3">
        <v>44430.46875</v>
      </c>
      <c r="C5" s="2">
        <v>2</v>
      </c>
      <c r="D5" s="5">
        <f>_xlfn.XLOOKUP(A5, ticket!E:E, ticket!B:B, "")</f>
        <v>44430.427083333336</v>
      </c>
    </row>
    <row r="6" spans="1:4" x14ac:dyDescent="0.3">
      <c r="A6" s="2" t="s">
        <v>16</v>
      </c>
      <c r="B6" s="3">
        <v>44431.375</v>
      </c>
      <c r="C6" s="2">
        <v>4</v>
      </c>
      <c r="D6" s="5">
        <f>_xlfn.XLOOKUP(A6, ticket!E:E, ticket!B:B, "")</f>
        <v>44431.333333333336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outlet-wise count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Thalam</dc:creator>
  <cp:lastModifiedBy>Dharani Thalam</cp:lastModifiedBy>
  <dcterms:created xsi:type="dcterms:W3CDTF">2026-04-08T17:26:01Z</dcterms:created>
  <dcterms:modified xsi:type="dcterms:W3CDTF">2026-04-08T17:50:22Z</dcterms:modified>
</cp:coreProperties>
</file>